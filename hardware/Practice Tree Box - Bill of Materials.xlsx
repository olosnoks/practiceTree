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<sst xmlns="http://schemas.openxmlformats.org/spreadsheetml/2006/main" count="55" uniqueCount="41">
  <si>
    <t>#</t>
  </si>
  <si>
    <t>Item</t>
  </si>
  <si>
    <t>Description / Notes</t>
  </si>
  <si>
    <t>Category</t>
  </si>
  <si>
    <t>Qty</t>
  </si>
  <si>
    <t>Unit</t>
  </si>
  <si>
    <t>Amazon Link</t>
  </si>
  <si>
    <t>LilyGo T-Display S3</t>
  </si>
  <si>
    <t>ESP32-S3 dev board with 1.9" TFT display, USB-C, onboard LiPo charging IC, JST battery connector</t>
  </si>
  <si>
    <t>Microcontroller</t>
  </si>
  <si>
    <t>pcs</t>
  </si>
  <si>
    <t>3.7V 2000mAh LiPo Battery</t>
  </si>
  <si>
    <t>With JST-PH 2.0 connector, rechargeable via onboard LilyGo charging IC</t>
  </si>
  <si>
    <t>Power</t>
  </si>
  <si>
    <t>6-Pin DPDT Latching Tactile Switch</t>
  </si>
  <si>
    <t>Push-on/push-off PCB mount switch, 3 legs per side; wired to RST pad and GND on LilyGo to force hardware OFF state while allowing charging</t>
  </si>
  <si>
    <t>Yellow 5mm LED</t>
  </si>
  <si>
    <t>Used for tree light sequence (staging lights)</t>
  </si>
  <si>
    <t>LEDs</t>
  </si>
  <si>
    <t>Red 5mm LED</t>
  </si>
  <si>
    <t>Used for tree light sequence (Red-Light indicator)</t>
  </si>
  <si>
    <t>Green 5mm LED</t>
  </si>
  <si>
    <t>Used for tree light sequence (GO light)</t>
  </si>
  <si>
    <t>680 Ohm 1/4W Resistor</t>
  </si>
  <si>
    <t>Current limiting resistors for all 7 LEDs (5x Yellow + 1x Red + 1x Green), one per LED</t>
  </si>
  <si>
    <t>Passives</t>
  </si>
  <si>
    <t>5x7cm Perfboard</t>
  </si>
  <si>
    <t>Prototype PCB for soldering all components</t>
  </si>
  <si>
    <t>Mechanical</t>
  </si>
  <si>
    <t>M2x8mm Screw</t>
  </si>
  <si>
    <t>For mounting PCB to 3D printed Front</t>
  </si>
  <si>
    <t>Hardware</t>
  </si>
  <si>
    <t>M2x12mm Screw</t>
  </si>
  <si>
    <t>For mounting 3D printed Back to Front</t>
  </si>
  <si>
    <t>Hookup Wire (assorted)</t>
  </si>
  <si>
    <t>Thin stranded wire for point-to-point wiring on perfboard and switch connections</t>
  </si>
  <si>
    <t>Wiring</t>
  </si>
  <si>
    <t>roll</t>
  </si>
  <si>
    <t>6x6x12mm Momentary Tactile Pushbutton</t>
  </si>
  <si>
    <t>4-pin PCB DIP through-hole, normally open, tall stem; used to trigger the practice tree light sequence</t>
  </si>
  <si>
    <t>Switches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</si>
</sst>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5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>
        <v>1.0</v>
      </c>
      <c r="B2" s="2" t="s">
        <v>7</v>
      </c>
      <c r="C2" s="2" t="s">
        <v>8</v>
      </c>
      <c r="D2" s="2" t="s">
        <v>9</v>
      </c>
      <c r="E2" s="2">
        <v>1.0</v>
      </c>
      <c r="F2" s="2" t="s">
        <v>10</v>
      </c>
      <c r="G2" s="4" t="str">
        <f>HYPERLINK("https://www.amazon.com/dp/B0BF542H39","LilyGo T-Display S3")</f>
        <v>LilyGo T-Display S3</v>
      </c>
    </row>
    <row r="3">
      <c r="A3" s="2">
        <v>2.0</v>
      </c>
      <c r="B3" s="2" t="s">
        <v>11</v>
      </c>
      <c r="C3" s="2" t="s">
        <v>12</v>
      </c>
      <c r="D3" s="2" t="s">
        <v>13</v>
      </c>
      <c r="E3" s="2">
        <v>1.0</v>
      </c>
      <c r="F3" s="2" t="s">
        <v>10</v>
      </c>
      <c r="G3" s="4" t="str">
        <f>HYPERLINK("https://www.amazon.com/dp/B09DPP44GM","EEMB 3.7V 2000mAh LiPo JST")</f>
        <v>EEMB 3.7V 2000mAh LiPo JST</v>
      </c>
    </row>
    <row r="4">
      <c r="A4" s="2">
        <v>3.0</v>
      </c>
      <c r="B4" s="2" t="s">
        <v>14</v>
      </c>
      <c r="C4" s="2" t="s">
        <v>15</v>
      </c>
      <c r="D4" s="2" t="s">
        <v>13</v>
      </c>
      <c r="E4" s="2">
        <v>1.0</v>
      </c>
      <c r="F4" s="2" t="s">
        <v>10</v>
      </c>
      <c r="G4" s="4" t="str">
        <f>HYPERLINK("https://www.amazon.com/dp/B07QVX1CKZ","Antrader 30pc 6-Pin DPDT Latching Switch")</f>
        <v>Antrader 30pc 6-Pin DPDT Latching Switch</v>
      </c>
    </row>
    <row r="5">
      <c r="A5" s="2">
        <v>4.0</v>
      </c>
      <c r="B5" s="2" t="s">
        <v>16</v>
      </c>
      <c r="C5" s="2" t="s">
        <v>17</v>
      </c>
      <c r="D5" s="2" t="s">
        <v>18</v>
      </c>
      <c r="E5" s="2">
        <v>5.0</v>
      </c>
      <c r="F5" s="2" t="s">
        <v>10</v>
      </c>
      <c r="G5" s="4" t="str">
        <f t="shared" ref="G5:G7" si="1">HYPERLINK("https://www.amazon.com/dp/B073QMYKDM","DiCUNO 450pc 5mm LED Assorted Kit")</f>
        <v>DiCUNO 450pc 5mm LED Assorted Kit</v>
      </c>
    </row>
    <row r="6">
      <c r="A6" s="2">
        <v>5.0</v>
      </c>
      <c r="B6" s="2" t="s">
        <v>19</v>
      </c>
      <c r="C6" s="2" t="s">
        <v>20</v>
      </c>
      <c r="D6" s="2" t="s">
        <v>18</v>
      </c>
      <c r="E6" s="2">
        <v>1.0</v>
      </c>
      <c r="F6" s="2" t="s">
        <v>10</v>
      </c>
      <c r="G6" s="4" t="str">
        <f t="shared" si="1"/>
        <v>DiCUNO 450pc 5mm LED Assorted Kit</v>
      </c>
    </row>
    <row r="7">
      <c r="A7" s="2">
        <v>6.0</v>
      </c>
      <c r="B7" s="2" t="s">
        <v>21</v>
      </c>
      <c r="C7" s="2" t="s">
        <v>22</v>
      </c>
      <c r="D7" s="2" t="s">
        <v>18</v>
      </c>
      <c r="E7" s="2">
        <v>1.0</v>
      </c>
      <c r="F7" s="2" t="s">
        <v>10</v>
      </c>
      <c r="G7" s="4" t="str">
        <f t="shared" si="1"/>
        <v>DiCUNO 450pc 5mm LED Assorted Kit</v>
      </c>
    </row>
    <row r="8">
      <c r="A8" s="2">
        <v>7.0</v>
      </c>
      <c r="B8" s="2" t="s">
        <v>23</v>
      </c>
      <c r="C8" s="2" t="s">
        <v>24</v>
      </c>
      <c r="D8" s="2" t="s">
        <v>25</v>
      </c>
      <c r="E8" s="2">
        <v>7.0</v>
      </c>
      <c r="F8" s="2" t="s">
        <v>10</v>
      </c>
      <c r="G8" s="4" t="str">
        <f>HYPERLINK("https://www.amazon.com/dp/B0CL9LX4R3","100pc 680 Ohm 1/4W Carbon Film Resistors")</f>
        <v>100pc 680 Ohm 1/4W Carbon Film Resistors</v>
      </c>
    </row>
    <row r="9">
      <c r="A9" s="2">
        <v>8.0</v>
      </c>
      <c r="B9" s="2" t="s">
        <v>26</v>
      </c>
      <c r="C9" s="2" t="s">
        <v>27</v>
      </c>
      <c r="D9" s="2" t="s">
        <v>28</v>
      </c>
      <c r="E9" s="2">
        <v>1.0</v>
      </c>
      <c r="F9" s="2" t="s">
        <v>10</v>
      </c>
      <c r="G9" s="4" t="str">
        <f>HYPERLINK("https://www.amazon.com/dp/B00FXHXT80","HiLetgo 20pc 5x7cm Perfboard")</f>
        <v>HiLetgo 20pc 5x7cm Perfboard</v>
      </c>
    </row>
    <row r="10">
      <c r="A10" s="2">
        <v>9.0</v>
      </c>
      <c r="B10" s="2" t="s">
        <v>29</v>
      </c>
      <c r="C10" s="2" t="s">
        <v>30</v>
      </c>
      <c r="D10" s="2" t="s">
        <v>31</v>
      </c>
      <c r="E10" s="2">
        <v>4.0</v>
      </c>
      <c r="F10" s="2" t="s">
        <v>10</v>
      </c>
      <c r="G10" s="4" t="str">
        <f t="shared" ref="G10:G11" si="2">HYPERLINK("https://www.amazon.com/dp/B0FG2CC91J","1260pc M2 Screw Assortment Kit (4-20mm)")</f>
        <v>1260pc M2 Screw Assortment Kit (4-20mm)</v>
      </c>
    </row>
    <row r="11">
      <c r="A11" s="2">
        <v>10.0</v>
      </c>
      <c r="B11" s="2" t="s">
        <v>32</v>
      </c>
      <c r="C11" s="2" t="s">
        <v>33</v>
      </c>
      <c r="D11" s="2" t="s">
        <v>31</v>
      </c>
      <c r="E11" s="2">
        <v>4.0</v>
      </c>
      <c r="F11" s="2" t="s">
        <v>10</v>
      </c>
      <c r="G11" s="4" t="str">
        <f t="shared" si="2"/>
        <v>1260pc M2 Screw Assortment Kit (4-20mm)</v>
      </c>
    </row>
    <row r="12">
      <c r="A12" s="2">
        <v>11.0</v>
      </c>
      <c r="B12" s="2" t="s">
        <v>34</v>
      </c>
      <c r="C12" s="2" t="s">
        <v>35</v>
      </c>
      <c r="D12" s="2" t="s">
        <v>36</v>
      </c>
      <c r="E12" s="2">
        <v>1.0</v>
      </c>
      <c r="F12" s="2" t="s">
        <v>37</v>
      </c>
      <c r="G12" s="4" t="str">
        <f>HYPERLINK("https://www.amazon.com/dp/B07TX6BX47","TUOFENG 22AWG Hookup Wire 6 Colors")</f>
        <v>TUOFENG 22AWG Hookup Wire 6 Colors</v>
      </c>
    </row>
    <row r="13">
      <c r="A13" s="2">
        <v>13.0</v>
      </c>
      <c r="B13" s="2" t="s">
        <v>38</v>
      </c>
      <c r="C13" s="2" t="s">
        <v>39</v>
      </c>
      <c r="D13" s="2" t="s">
        <v>40</v>
      </c>
      <c r="E13" s="2">
        <v>1.0</v>
      </c>
      <c r="F13" s="2" t="s">
        <v>10</v>
      </c>
      <c r="G13" s="4" t="str">
        <f>HYPERLINK("https://www.amazon.com/dp/B07JLV6WSF","uxcell 6x6x12mm 4-Pin DIP Tactile Switch 10pcs")</f>
        <v>uxcell 6x6x12mm 4-Pin DIP Tactile Switch 10pcs</v>
      </c>
    </row>
  </sheetData>
  <drawing r:id="rId1"/>
</worksheet>
</file>